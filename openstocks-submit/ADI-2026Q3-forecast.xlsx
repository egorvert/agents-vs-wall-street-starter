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Units</t>
        </is>
      </c>
      <c r="C1" t="inlineStr">
        <is>
          <t>Q1 26</t>
        </is>
      </c>
      <c r="D1" t="inlineStr">
        <is>
          <t>Q2 26</t>
        </is>
      </c>
      <c r="E1" t="inlineStr">
        <is>
          <t>2026Q3</t>
        </is>
      </c>
    </row>
    <row r="2">
      <c r="A2" t="inlineStr">
        <is>
          <t>Revenue</t>
        </is>
      </c>
      <c r="B2" t="inlineStr">
        <is>
          <t>USD bn</t>
        </is>
      </c>
      <c r="C2" t="n">
        <v>3.109</v>
      </c>
      <c r="D2" t="n">
        <v>3.62</v>
      </c>
      <c r="E2" t="n">
        <v>3.905</v>
      </c>
    </row>
    <row r="3">
      <c r="A3" t="inlineStr">
        <is>
          <t>Adjusted diluted earnings per share</t>
        </is>
      </c>
      <c r="B3" t="inlineStr">
        <is>
          <t>USD/share</t>
        </is>
      </c>
      <c r="C3" t="n">
        <v>2.62</v>
      </c>
      <c r="D3" t="n">
        <v>3.09</v>
      </c>
      <c r="E3" t="n">
        <v>3.3</v>
      </c>
    </row>
    <row r="4">
      <c r="A4" t="inlineStr">
        <is>
          <t>Industrial end market revenue</t>
        </is>
      </c>
      <c r="B4" t="inlineStr">
        <is>
          <t>USD bn</t>
        </is>
      </c>
      <c r="C4" t="n">
        <v>1.407</v>
      </c>
      <c r="D4" t="n">
        <v>1.799</v>
      </c>
      <c r="E4" t="n">
        <v>1.941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1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/ derivation</t>
        </is>
      </c>
    </row>
    <row r="2">
      <c r="A2" t="inlineStr">
        <is>
          <t>Revenue forecast, USDm</t>
        </is>
      </c>
      <c r="B2" t="n">
        <v>3905</v>
      </c>
      <c r="C2" t="inlineStr">
        <is>
          <t>Guidance midpoint $3.90bn +/- $100M (Q2 8-K outlook) + evidenced +5 tilt from blind/reveal combine; final.json commit 8ef3604</t>
        </is>
      </c>
    </row>
    <row r="3">
      <c r="A3" t="inlineStr">
        <is>
          <t>Revenue forecast, USD bn</t>
        </is>
      </c>
      <c r="B3" t="n">
        <v>3.905</v>
      </c>
      <c r="C3">
        <f> 3,905 / 1000. Unit conversion</f>
        <v/>
      </c>
    </row>
    <row r="4">
      <c r="A4" t="inlineStr">
        <is>
          <t>Adjusted diluted EPS forecast</t>
        </is>
      </c>
      <c r="B4" t="n">
        <v>3.3</v>
      </c>
      <c r="C4" t="inlineStr">
        <is>
          <t>Guidance midpoint; combine kept anchor</t>
        </is>
      </c>
    </row>
    <row r="5">
      <c r="A5" t="inlineStr">
        <is>
          <t>Industrial share of revenue, Q2 FY2026</t>
        </is>
      </c>
      <c r="B5" t="n">
        <v>0.497</v>
      </c>
      <c r="C5" t="inlineStr">
        <is>
          <t>Q2 FY2026 8-K end-market table: Industrial $1,799.4M = 50% of revenue (44% a year ago)</t>
        </is>
      </c>
    </row>
    <row r="6">
      <c r="A6" t="inlineStr">
        <is>
          <t>Industrial end market revenue forecast, USD bn</t>
        </is>
      </c>
      <c r="B6" t="n">
        <v>1.941</v>
      </c>
      <c r="C6">
        <f> 3.905 × 0.497 Q2 industrial share held. Hold Q2 industrial share on the revenue forecast (industrial recovery per management commentary supports share at least holding)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2026-08-16T16:44:06Z</dcterms:created>
  <dcterms:modified xmlns:dcterms="http://purl.org/dc/terms/" xmlns:xsi="http://www.w3.org/2001/XMLSchema-instance" xsi:type="dcterms:W3CDTF">2026-08-16T16:45:52Z</dcterms:modified>
</cp:coreProperties>
</file>