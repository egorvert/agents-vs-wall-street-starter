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7" customWidth="1" min="1" max="1"/>
  </cols>
  <sheetData>
    <row r="1">
      <c r="A1" s="1" t="inlineStr">
        <is>
          <t>Metric</t>
        </is>
      </c>
      <c r="B1" t="inlineStr">
        <is>
          <t>Units</t>
        </is>
      </c>
      <c r="C1" t="inlineStr">
        <is>
          <t>Q4 25</t>
        </is>
      </c>
      <c r="D1" t="inlineStr">
        <is>
          <t>Q1 26</t>
        </is>
      </c>
      <c r="E1" t="inlineStr">
        <is>
          <t>Q2 26</t>
        </is>
      </c>
      <c r="F1" t="inlineStr">
        <is>
          <t>2026Q3</t>
        </is>
      </c>
    </row>
    <row r="2">
      <c r="A2" t="inlineStr">
        <is>
          <t>Net Sales</t>
        </is>
      </c>
      <c r="B2" t="inlineStr">
        <is>
          <t>USD bn</t>
        </is>
      </c>
      <c r="C2" t="n">
        <v>10.579</v>
      </c>
      <c r="D2" t="n">
        <v>8.000999999999999</v>
      </c>
      <c r="E2" t="n">
        <v>11.778</v>
      </c>
      <c r="F2" t="n">
        <v>9.464</v>
      </c>
    </row>
    <row r="3">
      <c r="A3" t="inlineStr">
        <is>
          <t>Diluted EPS</t>
        </is>
      </c>
      <c r="B3" t="inlineStr">
        <is>
          <t>USD/share</t>
        </is>
      </c>
      <c r="C3" t="n">
        <v>3.93</v>
      </c>
      <c r="D3" t="n">
        <v>2.42</v>
      </c>
      <c r="E3" t="n">
        <v>6.55</v>
      </c>
      <c r="F3" t="n">
        <v>3.59</v>
      </c>
    </row>
    <row r="4">
      <c r="A4" t="inlineStr">
        <is>
          <t>Production &amp; Precision Ag Net Sales</t>
        </is>
      </c>
      <c r="B4" t="inlineStr">
        <is>
          <t>USD bn</t>
        </is>
      </c>
      <c r="C4" t="n">
        <v>4.74</v>
      </c>
      <c r="D4" t="n">
        <v>3.163</v>
      </c>
      <c r="E4" t="n">
        <v>4.503</v>
      </c>
      <c r="F4" t="n">
        <v>3.905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1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/ derivation</t>
        </is>
      </c>
    </row>
    <row r="2">
      <c r="A2" t="inlineStr">
        <is>
          <t>Worldwide net sales &amp; revenues forecast, USDm (incl. financial services)</t>
        </is>
      </c>
      <c r="B2" t="n">
        <v>10981.78</v>
      </c>
      <c r="C2" t="inlineStr">
        <is>
          <t>Pipeline final.json: seasonal naive x trailing YoY on worldwide series (FY2025Q3 12,018), commit 8ef3604</t>
        </is>
      </c>
    </row>
    <row r="3">
      <c r="A3" t="inlineStr">
        <is>
          <t>Implied worldwide YoY for FY2026Q3</t>
        </is>
      </c>
      <c r="B3" t="n">
        <v>0.9137999999999999</v>
      </c>
      <c r="C3">
        <f> 10,981.78 / 12,018 FY2025Q3 worldwide. Forecast / FY2025Q3 worldwide actual (10-Q)</f>
        <v/>
      </c>
    </row>
    <row r="4">
      <c r="A4" t="inlineStr">
        <is>
          <t>Equipment net sales, Q3 FY2025 actual, USDm</t>
        </is>
      </c>
      <c r="B4" t="n">
        <v>10357</v>
      </c>
      <c r="C4" t="inlineStr">
        <is>
          <t>Deere Q3 FY2025 10-Q: equipment operations net sales (excludes financial services) - this template's 'Net Sales' basis</t>
        </is>
      </c>
    </row>
    <row r="5">
      <c r="A5" t="inlineStr">
        <is>
          <t>Net sales forecast (equipment), USD bn</t>
        </is>
      </c>
      <c r="B5" t="n">
        <v>9.464</v>
      </c>
      <c r="C5">
        <f> 10,357 equipment base × 0.9138 YoY / 1000. Q3 FY2025 equipment base x implied worldwide YoY, converted to bn</f>
        <v/>
      </c>
    </row>
    <row r="6">
      <c r="A6" t="inlineStr">
        <is>
          <t>Diluted EPS (GAAP) forecast</t>
        </is>
      </c>
      <c r="B6" t="n">
        <v>3.59</v>
      </c>
      <c r="C6" t="inlineStr">
        <is>
          <t>Pipeline final.json - same GAAP basis as this template</t>
        </is>
      </c>
    </row>
    <row r="7">
      <c r="A7" t="inlineStr">
        <is>
          <t>P&amp;P Ag net sales, Q3 FY2025 actual, USDm</t>
        </is>
      </c>
      <c r="B7" t="n">
        <v>4273</v>
      </c>
      <c r="C7" t="inlineStr">
        <is>
          <t>Deere Q3 FY2025 10-Q segment table</t>
        </is>
      </c>
    </row>
    <row r="8">
      <c r="A8" t="inlineStr">
        <is>
          <t>P&amp;P Ag net sales forecast, USD bn</t>
        </is>
      </c>
      <c r="B8" t="n">
        <v>3.905</v>
      </c>
      <c r="C8">
        <f> 4,273 PPA base × 0.9138 YoY / 1000. Segment base x implied worldwide YoY (consistent top-line assumption); cross-check: Q2 FY2026 PPA -14% YoY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2026-08-16T16:38:32Z</dcterms:created>
  <dcterms:modified xmlns:dcterms="http://purl.org/dc/terms/" xmlns:xsi="http://www.w3.org/2001/XMLSchema-instance" xsi:type="dcterms:W3CDTF">2026-08-16T16:45:52Z</dcterms:modified>
</cp:coreProperties>
</file>