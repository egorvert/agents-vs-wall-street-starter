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Metric</t>
        </is>
      </c>
      <c r="B1" t="inlineStr">
        <is>
          <t>Units</t>
        </is>
      </c>
      <c r="C1" t="inlineStr">
        <is>
          <t>Q3 26</t>
        </is>
      </c>
      <c r="D1" t="inlineStr">
        <is>
          <t>Q4 26</t>
        </is>
      </c>
      <c r="E1" t="inlineStr">
        <is>
          <t>Q1 27</t>
        </is>
      </c>
      <c r="F1" t="inlineStr">
        <is>
          <t>2027Q2</t>
        </is>
      </c>
    </row>
    <row r="2">
      <c r="A2" t="inlineStr">
        <is>
          <t>Net sales</t>
        </is>
      </c>
      <c r="B2" t="inlineStr">
        <is>
          <t>USD bn</t>
        </is>
      </c>
      <c r="C2" t="n">
        <v>41.352</v>
      </c>
      <c r="D2" t="n">
        <v>38.198</v>
      </c>
      <c r="E2" t="n">
        <v>41.765</v>
      </c>
      <c r="F2" t="n">
        <v>47.502</v>
      </c>
    </row>
    <row r="3">
      <c r="A3" t="inlineStr">
        <is>
          <t>Diluted EPS</t>
        </is>
      </c>
      <c r="B3" t="inlineStr">
        <is>
          <t>USD/share</t>
        </is>
      </c>
      <c r="C3" t="n">
        <v>3.62</v>
      </c>
      <c r="D3" t="n">
        <v>2.58</v>
      </c>
      <c r="E3" t="n">
        <v>3.3</v>
      </c>
      <c r="F3" t="n">
        <v>4.55</v>
      </c>
    </row>
    <row r="4">
      <c r="A4" t="inlineStr">
        <is>
          <t>Comparable sales</t>
        </is>
      </c>
      <c r="B4" t="inlineStr">
        <is>
          <t>%</t>
        </is>
      </c>
      <c r="C4" t="n">
        <v>0.2</v>
      </c>
      <c r="D4" t="n">
        <v>0.4</v>
      </c>
      <c r="E4" t="n">
        <v>0.6</v>
      </c>
      <c r="F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/ derivation</t>
        </is>
      </c>
    </row>
    <row r="2">
      <c r="A2" t="inlineStr">
        <is>
          <t>Net sales forecast, USDm</t>
        </is>
      </c>
      <c r="B2" t="n">
        <v>47502.08</v>
      </c>
      <c r="C2" t="inlineStr">
        <is>
          <t>Seasonal naive x trailing YoY over reported Q2 series (FY2025Q2 45,283 -&gt; implied growth), guardrail range [45,300-49,704]; pipeline final.json, commit 8ef3604</t>
        </is>
      </c>
    </row>
    <row r="3">
      <c r="A3" t="inlineStr">
        <is>
          <t>Net sales forecast, USD bn</t>
        </is>
      </c>
      <c r="B3" t="n">
        <v>47.502</v>
      </c>
      <c r="C3">
        <f> 47,502.08 / 1000. Unit conversion for this template</f>
        <v/>
      </c>
    </row>
    <row r="4">
      <c r="A4" t="inlineStr">
        <is>
          <t>Adjusted diluted EPS forecast</t>
        </is>
      </c>
      <c r="B4" t="n">
        <v>4.68</v>
      </c>
      <c r="C4" t="inlineStr">
        <is>
          <t>Guardrail range base; blind/reveal combine kept anchor (no directional edge)</t>
        </is>
      </c>
    </row>
    <row r="5">
      <c r="A5" t="inlineStr">
        <is>
          <t>Q1 FY2026 adjusted vs GAAP diluted EPS gap</t>
        </is>
      </c>
      <c r="B5" t="n">
        <v>0.13</v>
      </c>
      <c r="C5" t="inlineStr">
        <is>
          <t>HD Q1 8-K reconciliation: adjusted 3.43 vs GAAP 3.30 (acquired-intangible amortisation net of tax)</t>
        </is>
      </c>
    </row>
    <row r="6">
      <c r="A6" t="inlineStr">
        <is>
          <t>Diluted EPS (GAAP) forecast</t>
        </is>
      </c>
      <c r="B6" t="n">
        <v>4.55</v>
      </c>
      <c r="C6">
        <f> 4.68 adjusted − 0.13 amortisation bridge (Q1: adj 3.43 vs GAAP 3.30). Adjusted forecast minus the amortisation bridge (template metric is GAAP)</f>
        <v/>
      </c>
    </row>
    <row r="7">
      <c r="A7" t="inlineStr">
        <is>
          <t>Comparable sales forecast, %</t>
        </is>
      </c>
      <c r="B7" t="n">
        <v>2</v>
      </c>
      <c r="C7" t="inlineStr">
        <is>
          <t>Damped seasonal base at management guidance ceiling ('flat to 2.0%' FY guidance, reaffirmed 19 May 2026); guardrail band [1.0-3.0]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2026-08-16T16:40:24Z</dcterms:created>
  <dcterms:modified xmlns:dcterms="http://purl.org/dc/terms/" xmlns:xsi="http://www.w3.org/2001/XMLSchema-instance" xsi:type="dcterms:W3CDTF">2026-08-16T16:45:52Z</dcterms:modified>
</cp:coreProperties>
</file>