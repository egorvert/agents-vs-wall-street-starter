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Units</t>
        </is>
      </c>
      <c r="C1" t="inlineStr">
        <is>
          <t>H2 25</t>
        </is>
      </c>
      <c r="D1" t="inlineStr">
        <is>
          <t>H1 26</t>
        </is>
      </c>
      <c r="E1" t="inlineStr">
        <is>
          <t>2026H2</t>
        </is>
      </c>
    </row>
    <row r="2">
      <c r="A2" t="inlineStr">
        <is>
          <t>Net fees</t>
        </is>
      </c>
      <c r="B2" t="inlineStr">
        <is>
          <t>GBP bn</t>
        </is>
      </c>
      <c r="C2" t="n">
        <v>0.4764</v>
      </c>
      <c r="D2" t="n">
        <v>0.4533</v>
      </c>
      <c r="E2" t="n">
        <v>0.4491</v>
      </c>
    </row>
    <row r="3">
      <c r="A3" t="inlineStr">
        <is>
          <t>Operating profit before exceptional items</t>
        </is>
      </c>
      <c r="B3" t="inlineStr">
        <is>
          <t>GBP bn</t>
        </is>
      </c>
      <c r="C3" t="n">
        <v>0.0255</v>
      </c>
      <c r="D3" t="n">
        <v>0.0201</v>
      </c>
      <c r="E3" t="n">
        <v>0.0252</v>
      </c>
    </row>
    <row r="4">
      <c r="A4" t="inlineStr">
        <is>
          <t>Germany net fees</t>
        </is>
      </c>
      <c r="B4" t="inlineStr">
        <is>
          <t>GBP bn</t>
        </is>
      </c>
      <c r="C4" t="n">
        <v>0.1518</v>
      </c>
      <c r="D4" t="n">
        <v>0.1455</v>
      </c>
      <c r="E4" t="n">
        <v>0.1442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10" customWidth="1" min="3" max="3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/ derivation</t>
        </is>
      </c>
    </row>
    <row r="2">
      <c r="A2" t="inlineStr">
        <is>
          <t>FY2026 net fees forecast, GBPm (full year)</t>
        </is>
      </c>
      <c r="B2" t="n">
        <v>902.4</v>
      </c>
      <c r="C2" t="inlineStr">
        <is>
          <t>Company-hosted consensus mean (live-data snapshot 11 Aug 2026); pipeline final.json commit 8ef3604</t>
        </is>
      </c>
    </row>
    <row r="3">
      <c r="A3" t="inlineStr">
        <is>
          <t>H1 FY2026 net fees actual, GBPm</t>
        </is>
      </c>
      <c r="B3" t="n">
        <v>453.3</v>
      </c>
      <c r="C3" t="inlineStr">
        <is>
          <t>H1 FY2026 interim report (27 Feb 2026): net fees down 9% to 453.3</t>
        </is>
      </c>
    </row>
    <row r="4">
      <c r="A4" t="inlineStr">
        <is>
          <t>H2 net fees forecast, GBP bn</t>
        </is>
      </c>
      <c r="B4" t="n">
        <v>0.4491</v>
      </c>
      <c r="C4">
        <f> (902.4 FY − 453.3 H1) / 1000. FY forecast minus H1 actual</f>
        <v/>
      </c>
    </row>
    <row r="5">
      <c r="A5" t="inlineStr">
        <is>
          <t>FY2026 pre-exceptional operating profit forecast, GBPm</t>
        </is>
      </c>
      <c r="B5" t="n">
        <v>45.3</v>
      </c>
      <c r="C5" t="inlineStr">
        <is>
          <t>Consensus mean; management guided 'top of GBP37.0-46.0m consensus range' (10 Jul trading statement)</t>
        </is>
      </c>
    </row>
    <row r="6">
      <c r="A6" t="inlineStr">
        <is>
          <t>H1 FY2026 pre-exceptional operating profit actual, GBPm</t>
        </is>
      </c>
      <c r="B6" t="n">
        <v>20.1</v>
      </c>
      <c r="C6" t="inlineStr">
        <is>
          <t>H1 FY2026 interim report</t>
        </is>
      </c>
    </row>
    <row r="7">
      <c r="A7" t="inlineStr">
        <is>
          <t>H2 operating profit forecast, GBP bn</t>
        </is>
      </c>
      <c r="B7" t="n">
        <v>0.0252</v>
      </c>
      <c r="C7">
        <f> (45.3 FY − 20.1 H1) / 1000. FY forecast minus H1 actual</f>
        <v/>
      </c>
    </row>
    <row r="8">
      <c r="A8" t="inlineStr">
        <is>
          <t>Germany share of group net fees, H1 FY2026</t>
        </is>
      </c>
      <c r="B8" t="n">
        <v>0.321</v>
      </c>
      <c r="C8" t="inlineStr">
        <is>
          <t>H1 report: Germany net fees GBP145.5M of 453.3M group</t>
        </is>
      </c>
    </row>
    <row r="9">
      <c r="A9" t="inlineStr">
        <is>
          <t>Germany H2 net fees forecast, GBP bn</t>
        </is>
      </c>
      <c r="B9" t="n">
        <v>0.1442</v>
      </c>
      <c r="C9">
        <f> 0.4491 H2 group × 0.321 Germany H1 share. Hold H1 Germany share on the H2 group forecast (Q4 statement: Germany hours worked stable, resilient performance)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2026-08-16T16:44:06Z</dcterms:created>
  <dcterms:modified xmlns:dcterms="http://purl.org/dc/terms/" xmlns:xsi="http://www.w3.org/2001/XMLSchema-instance" xsi:type="dcterms:W3CDTF">2026-08-16T16:45:52Z</dcterms:modified>
</cp:coreProperties>
</file>